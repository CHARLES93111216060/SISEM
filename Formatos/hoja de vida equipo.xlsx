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jas\Downloads\"/>
    </mc:Choice>
  </mc:AlternateContent>
  <xr:revisionPtr revIDLastSave="0" documentId="13_ncr:1_{FD2E350F-7E60-4758-A666-F35E94F1F8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DE VID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9" i="2" l="1"/>
  <c r="A62" i="2" l="1"/>
  <c r="E63" i="2"/>
  <c r="A64" i="2"/>
  <c r="BD64" i="2"/>
  <c r="AN65" i="2"/>
  <c r="BD65" i="2"/>
  <c r="AN66" i="2"/>
  <c r="E67" i="2"/>
  <c r="A68" i="2"/>
  <c r="BD68" i="2"/>
  <c r="AN69" i="2"/>
  <c r="BK75" i="2"/>
  <c r="M8" i="2"/>
  <c r="M10" i="2"/>
  <c r="M12" i="2"/>
  <c r="M14" i="2"/>
  <c r="M18" i="2"/>
  <c r="M22" i="2"/>
  <c r="M24" i="2"/>
  <c r="M26" i="2"/>
  <c r="M30" i="2"/>
  <c r="AW30" i="2"/>
  <c r="M32" i="2"/>
  <c r="AW32" i="2"/>
  <c r="M34" i="2"/>
  <c r="AW34" i="2"/>
  <c r="V38" i="2"/>
  <c r="BF38" i="2"/>
  <c r="M41" i="2"/>
  <c r="Q41" i="2"/>
  <c r="U41" i="2"/>
  <c r="Y41" i="2"/>
  <c r="AC41" i="2"/>
  <c r="AG41" i="2"/>
  <c r="AK41" i="2"/>
  <c r="AO41" i="2"/>
  <c r="AS41" i="2"/>
  <c r="AW41" i="2"/>
  <c r="BA41" i="2"/>
  <c r="BE41" i="2"/>
  <c r="K45" i="2"/>
  <c r="AI45" i="2"/>
  <c r="BG45" i="2"/>
  <c r="K47" i="2"/>
  <c r="AI47" i="2"/>
  <c r="BG47" i="2"/>
  <c r="K49" i="2"/>
  <c r="AI49" i="2"/>
  <c r="BG49" i="2"/>
  <c r="A53" i="2"/>
  <c r="AK53" i="2"/>
  <c r="A57" i="2"/>
  <c r="AK57" i="2"/>
  <c r="E62" i="2"/>
  <c r="A63" i="2"/>
  <c r="AN63" i="2"/>
  <c r="AN64" i="2"/>
  <c r="A65" i="2"/>
  <c r="E66" i="2"/>
  <c r="BD66" i="2"/>
  <c r="BD67" i="2"/>
  <c r="E68" i="2"/>
  <c r="E69" i="2"/>
  <c r="BD69" i="2"/>
  <c r="AA75" i="2"/>
  <c r="AN62" i="2"/>
  <c r="BD62" i="2"/>
  <c r="BD63" i="2"/>
  <c r="E64" i="2"/>
  <c r="E65" i="2"/>
  <c r="A66" i="2"/>
  <c r="A67" i="2"/>
  <c r="AN67" i="2"/>
  <c r="AN68" i="2"/>
  <c r="A69" i="2"/>
  <c r="AA73" i="2"/>
  <c r="BK73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<sst xmlns="http://schemas.openxmlformats.org/spreadsheetml/2006/main" count="73" uniqueCount="73">
  <si>
    <t>HOJA DE VIDA DE EQUIPO MÉDICO</t>
  </si>
  <si>
    <t>Proceso:</t>
  </si>
  <si>
    <t>Ingeniería Clínica.</t>
  </si>
  <si>
    <t>Código:</t>
  </si>
  <si>
    <t>Versión: 1</t>
  </si>
  <si>
    <t>PM_003</t>
  </si>
  <si>
    <t>Pág. N° 1</t>
  </si>
  <si>
    <t>Datos Generales.</t>
  </si>
  <si>
    <t>Imagen del Equipo.</t>
  </si>
  <si>
    <t xml:space="preserve">Nombre: </t>
  </si>
  <si>
    <t xml:space="preserve">Marca: </t>
  </si>
  <si>
    <t xml:space="preserve">Modelo: </t>
  </si>
  <si>
    <t xml:space="preserve">N° de Serie: </t>
  </si>
  <si>
    <t xml:space="preserve">N° de Inventario: </t>
  </si>
  <si>
    <t>MED_0247</t>
  </si>
  <si>
    <t xml:space="preserve">Registro INVIMA: </t>
  </si>
  <si>
    <t>Datos de Ubicación.</t>
  </si>
  <si>
    <t xml:space="preserve">Entidad / Clínica: </t>
  </si>
  <si>
    <t xml:space="preserve">Area / Servicio: </t>
  </si>
  <si>
    <t xml:space="preserve">Cubiculo: 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</si>
  <si>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</si>
  <si>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</si>
  <si>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</si>
  <si>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</si>
  <si>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</si>
  <si>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</si>
  <si>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</si>
  <si>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</si>
  <si>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</si>
  <si>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</si>
  <si>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</si>
  <si>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</si>
  <si>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Responsable del Mantenimiento.</t>
  </si>
  <si>
    <t>Datos de Adquisición</t>
  </si>
  <si>
    <t xml:space="preserve">Responsable: </t>
  </si>
  <si>
    <t xml:space="preserve">Forma : </t>
  </si>
  <si>
    <t xml:space="preserve">N° de Contacto: </t>
  </si>
  <si>
    <t xml:space="preserve">Fecha: </t>
  </si>
  <si>
    <t xml:space="preserve">Email: </t>
  </si>
  <si>
    <t xml:space="preserve">Vida Útil: </t>
  </si>
  <si>
    <t>4R</t>
  </si>
  <si>
    <t xml:space="preserve">Periodicidad del Mantenimiento: </t>
  </si>
  <si>
    <t xml:space="preserve">Requiere Control  Metrologico: </t>
  </si>
  <si>
    <t>Especificaciones Técnicas.</t>
  </si>
  <si>
    <t xml:space="preserve">Voltaje (V) </t>
  </si>
  <si>
    <t xml:space="preserve">Corriente (A) </t>
  </si>
  <si>
    <t xml:space="preserve">Frecuencia (Hz) </t>
  </si>
  <si>
    <t xml:space="preserve">Potencia (W) </t>
  </si>
  <si>
    <t xml:space="preserve">Peso (Kg) </t>
  </si>
  <si>
    <t xml:space="preserve">Presión </t>
  </si>
  <si>
    <t xml:space="preserve">Temperatura (°C) </t>
  </si>
  <si>
    <t xml:space="preserve">Dimensiones  </t>
  </si>
  <si>
    <t xml:space="preserve">Capacidad </t>
  </si>
  <si>
    <t>Clasificación Biomédica.</t>
  </si>
  <si>
    <t>Clasificación del Riesgo.</t>
  </si>
  <si>
    <t>Fuentes de Alimentación.</t>
  </si>
  <si>
    <t>Tecnología Predominante.</t>
  </si>
  <si>
    <t>Accesorios / Consumibles.</t>
  </si>
  <si>
    <t>Cant.</t>
  </si>
  <si>
    <t>Descripción.</t>
  </si>
  <si>
    <t>Marca</t>
  </si>
  <si>
    <t>Modelo.</t>
  </si>
  <si>
    <t>Documentación.</t>
  </si>
  <si>
    <t>Manual de Operación:</t>
  </si>
  <si>
    <t>Manual de Servicio:</t>
  </si>
  <si>
    <t>Ficha Técnica:</t>
  </si>
  <si>
    <t>Guia rapida de operación:</t>
  </si>
  <si>
    <r>
      <rPr>
        <sz val="15"/>
        <color theme="1"/>
        <rFont val="Roboto, Arial"/>
      </rPr>
      <t>Elaborado Por:</t>
    </r>
    <r>
      <rPr>
        <b/>
        <sz val="15"/>
        <color theme="1"/>
        <rFont val="Roboto, Arial"/>
      </rPr>
      <t xml:space="preserve"> MULTILINK INGENIERIA SAS.</t>
    </r>
  </si>
  <si>
    <r>
      <rPr>
        <sz val="15"/>
        <color theme="1"/>
        <rFont val="Roboto, Arial"/>
      </rPr>
      <t>Revisado Por:</t>
    </r>
    <r>
      <rPr>
        <b/>
        <sz val="15"/>
        <color theme="1"/>
        <rFont val="Roboto, Arial"/>
      </rPr>
      <t xml:space="preserve"> Jefe de Ingeniería.</t>
    </r>
  </si>
  <si>
    <r>
      <rPr>
        <sz val="15"/>
        <color theme="1"/>
        <rFont val="Roboto, Arial"/>
      </rPr>
      <t>Aprobado Por:</t>
    </r>
    <r>
      <rPr>
        <b/>
        <sz val="15"/>
        <color theme="1"/>
        <rFont val="Roboto, Arial"/>
      </rPr>
      <t xml:space="preserve"> Gerencia.</t>
    </r>
  </si>
  <si>
    <r>
      <t xml:space="preserve">Todos los derechos reservados. </t>
    </r>
    <r>
      <rPr>
        <b/>
        <sz val="15"/>
        <color theme="1"/>
        <rFont val="Roboto"/>
      </rPr>
      <t>BIOMEGA S.A.S.</t>
    </r>
  </si>
  <si>
    <t>BIOMEGA S.A.S.</t>
  </si>
  <si>
    <r>
      <rPr>
        <sz val="15"/>
        <color theme="1"/>
        <rFont val="Roboto, Arial"/>
      </rPr>
      <t>Fecha de Aprobación</t>
    </r>
    <r>
      <rPr>
        <b/>
        <sz val="15"/>
        <color theme="1"/>
        <rFont val="Roboto, Arial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</si>
</sst>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23">
    <font>
      <sz val="10"/>
      <color rgb="FF000000"/>
      <name val="Arial"/>
      <scheme val="minor"/>
    </font>
    <font>
      <sz val="15"/>
      <color theme="1"/>
      <name val="Roboto"/>
    </font>
    <font>
      <sz val="10"/>
      <name val="Arial"/>
    </font>
    <font>
      <sz val="24"/>
      <color theme="1"/>
      <name val="Roboto"/>
    </font>
    <font>
      <b/>
      <sz val="13"/>
      <color theme="1"/>
      <name val="Roboto"/>
    </font>
    <font>
      <sz val="13"/>
      <color theme="1"/>
      <name val="Roboto"/>
    </font>
    <font>
      <b/>
      <i/>
      <sz val="15"/>
      <color theme="1"/>
      <name val="Roboto"/>
    </font>
    <font>
      <sz val="14"/>
      <color theme="1"/>
      <name val="Roboto"/>
    </font>
    <font>
      <b/>
      <sz val="15"/>
      <color rgb="FFFFFFFF"/>
      <name val="Roboto"/>
    </font>
    <font>
      <b/>
      <sz val="15"/>
      <color theme="1"/>
      <name val="Roboto"/>
    </font>
    <font>
      <u/>
      <sz val="15"/>
      <color rgb="FF1155CC"/>
      <name val="Roboto"/>
    </font>
    <font>
      <u/>
      <sz val="15"/>
      <color rgb="FF1155CC"/>
      <name val="Roboto"/>
    </font>
    <font>
      <u/>
      <sz val="15"/>
      <color rgb="FF1155CC"/>
      <name val="Roboto"/>
    </font>
    <font>
      <u/>
      <sz val="15"/>
      <color rgb="FF1155CC"/>
      <name val="Roboto"/>
    </font>
    <font>
      <u/>
      <sz val="15"/>
      <color rgb="FF1155CC"/>
      <name val="Roboto"/>
    </font>
    <font>
      <u/>
      <sz val="15"/>
      <color rgb="FF1155CC"/>
      <name val="Roboto"/>
    </font>
    <font>
      <sz val="14"/>
      <color theme="1"/>
      <name val="Arial"/>
    </font>
    <font>
      <u/>
      <sz val="15"/>
      <color rgb="FF1155CC"/>
      <name val="Roboto"/>
    </font>
    <font>
      <u/>
      <sz val="15"/>
      <color rgb="FF1155CC"/>
      <name val="Roboto"/>
    </font>
    <font>
      <u/>
      <sz val="15"/>
      <color rgb="FF1155CC"/>
      <name val="Roboto"/>
    </font>
    <font>
      <u/>
      <sz val="14"/>
      <color theme="4"/>
      <name val="Roboto"/>
    </font>
    <font>
      <sz val="15"/>
      <color theme="1"/>
      <name val="Roboto, Arial"/>
    </font>
    <font>
      <b/>
      <sz val="15"/>
      <color theme="1"/>
      <name val="Roboto, Arial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66A6BE"/>
        <bgColor rgb="FF999999"/>
      </patternFill>
    </fill>
    <fill>
      <patternFill patternType="solid">
        <fgColor rgb="FF66A6BE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5" xfId="0" applyFont="1" applyBorder="1"/>
    <xf numFmtId="0" fontId="0" fillId="0" borderId="0" xfId="0"/>
    <xf numFmtId="0" fontId="9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9" fillId="0" borderId="1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4" xfId="0" applyFont="1" applyBorder="1"/>
    <xf numFmtId="0" fontId="2" fillId="0" borderId="6" xfId="0" applyFont="1" applyBorder="1"/>
    <xf numFmtId="0" fontId="2" fillId="0" borderId="21" xfId="0" applyFont="1" applyBorder="1"/>
    <xf numFmtId="0" fontId="2" fillId="0" borderId="13" xfId="0" applyFont="1" applyBorder="1"/>
    <xf numFmtId="0" fontId="2" fillId="0" borderId="16" xfId="0" applyFont="1" applyBorder="1"/>
    <xf numFmtId="164" fontId="1" fillId="0" borderId="11" xfId="0" applyNumberFormat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7" fillId="0" borderId="1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/>
    <xf numFmtId="0" fontId="2" fillId="0" borderId="22" xfId="0" applyFont="1" applyBorder="1"/>
    <xf numFmtId="0" fontId="14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20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2" fillId="0" borderId="5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8" xfId="0" applyFont="1" applyBorder="1"/>
    <xf numFmtId="0" fontId="3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5" fillId="0" borderId="13" xfId="0" applyFont="1" applyBorder="1" applyAlignment="1">
      <alignment horizontal="center"/>
    </xf>
    <xf numFmtId="0" fontId="2" fillId="0" borderId="14" xfId="0" applyFont="1" applyBorder="1"/>
    <xf numFmtId="0" fontId="4" fillId="0" borderId="13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4" borderId="0" xfId="0" applyFill="1"/>
    <xf numFmtId="0" fontId="22" fillId="0" borderId="11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66A6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S1000"/>
  <sheetViews>
    <sheetView showGridLines="0" tabSelected="1" workbookViewId="0">
      <selection activeCell="A79" sqref="A79:BS79"/>
    </sheetView>
  </sheetViews>
  <sheetFormatPr defaultColWidth="12.6640625" defaultRowHeight="15" customHeight="1"/>
  <cols>
    <col min="1" max="71" width="2" customWidth="1"/>
  </cols>
  <sheetData>
    <row r="1" spans="1:71" ht="20.25" customHeight="1">
      <c r="A1" s="39" t="e" vm="1">
        <v>#VALUE!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1"/>
      <c r="P1" s="45" t="s">
        <v>0</v>
      </c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1"/>
      <c r="BF1" s="46" t="s">
        <v>1</v>
      </c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8"/>
    </row>
    <row r="2" spans="1:71" ht="20.25" customHeight="1">
      <c r="A2" s="42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43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43"/>
      <c r="BF2" s="49" t="s">
        <v>2</v>
      </c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50"/>
    </row>
    <row r="3" spans="1:71" ht="20.25" customHeight="1">
      <c r="A3" s="42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4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7"/>
      <c r="BF3" s="51" t="s">
        <v>3</v>
      </c>
      <c r="BG3" s="26"/>
      <c r="BH3" s="26"/>
      <c r="BI3" s="26"/>
      <c r="BJ3" s="26"/>
      <c r="BK3" s="26"/>
      <c r="BL3" s="27"/>
      <c r="BM3" s="51" t="s">
        <v>4</v>
      </c>
      <c r="BN3" s="26"/>
      <c r="BO3" s="26"/>
      <c r="BP3" s="26"/>
      <c r="BQ3" s="26"/>
      <c r="BR3" s="26"/>
      <c r="BS3" s="50"/>
    </row>
    <row r="4" spans="1:71" ht="20.25" customHeight="1">
      <c r="A4" s="44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3"/>
      <c r="P4" s="52" t="s">
        <v>71</v>
      </c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3"/>
      <c r="BF4" s="31" t="s">
        <v>5</v>
      </c>
      <c r="BG4" s="32"/>
      <c r="BH4" s="32"/>
      <c r="BI4" s="32"/>
      <c r="BJ4" s="32"/>
      <c r="BK4" s="32"/>
      <c r="BL4" s="33"/>
      <c r="BM4" s="31" t="s">
        <v>6</v>
      </c>
      <c r="BN4" s="32"/>
      <c r="BO4" s="32"/>
      <c r="BP4" s="32"/>
      <c r="BQ4" s="32"/>
      <c r="BR4" s="32"/>
      <c r="BS4" s="34"/>
    </row>
    <row r="5" spans="1:71" ht="7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</row>
    <row r="6" spans="1:71" ht="20.25" customHeight="1">
      <c r="A6" s="53" t="s">
        <v>7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2"/>
      <c r="AK6" s="53" t="s">
        <v>8</v>
      </c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</row>
    <row r="7" spans="1:71" ht="6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</row>
    <row r="8" spans="1:71" ht="20.25" customHeight="1">
      <c r="A8" s="29" t="s">
        <v>9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30" t="e">
        <f>VLOOKUP($M$16,#REF!,2,FALSE)</f>
        <v>#REF!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6"/>
      <c r="AJ8" s="2"/>
      <c r="AK8" s="3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5"/>
    </row>
    <row r="9" spans="1:71" ht="6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2"/>
      <c r="AK9" s="6"/>
      <c r="AL9" s="35" t="str">
        <f ca="1">IFERROR(__xludf.DUMMYFUNCTION("IMAGE(REGEXREPLACE(REGEXREPLACE(VLOOKUP($M$16, INVENTARIO!$B$2:$CC$1262,80, FALSE),""/view\?usp=drive_link"","""") ,""file/d/"",""uc?export=view&amp;id=""))"),"")</f>
        <v/>
      </c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7"/>
    </row>
    <row r="10" spans="1:71" ht="20.25" customHeight="1">
      <c r="A10" s="29" t="s">
        <v>10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30" t="e">
        <f>VLOOKUP($M$16,#REF!, 3, FALSE)</f>
        <v>#REF!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6"/>
      <c r="AJ10" s="2"/>
      <c r="AK10" s="6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7"/>
    </row>
    <row r="11" spans="1:71" ht="6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2"/>
      <c r="AK11" s="6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7"/>
    </row>
    <row r="12" spans="1:71" ht="20.25" customHeight="1">
      <c r="A12" s="29" t="s">
        <v>11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30" t="e">
        <f>VLOOKUP($M$16,#REF!, 4, FALSE)</f>
        <v>#REF!</v>
      </c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6"/>
      <c r="AJ12" s="2"/>
      <c r="AK12" s="6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7"/>
    </row>
    <row r="13" spans="1:71" ht="6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2"/>
      <c r="AK13" s="6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7"/>
    </row>
    <row r="14" spans="1:71" ht="20.25" customHeight="1">
      <c r="A14" s="29" t="s">
        <v>12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30" t="e">
        <f>VLOOKUP($M$16,#REF!, 5, FALSE)</f>
        <v>#REF!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6"/>
      <c r="AJ14" s="2"/>
      <c r="AK14" s="6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7"/>
    </row>
    <row r="15" spans="1:71" ht="6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2"/>
      <c r="AK15" s="6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7"/>
    </row>
    <row r="16" spans="1:71" ht="20.25" customHeight="1">
      <c r="A16" s="29" t="s">
        <v>13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38" t="s">
        <v>14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6"/>
      <c r="AJ16" s="2"/>
      <c r="AK16" s="6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7"/>
    </row>
    <row r="17" spans="1:71" ht="6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2"/>
      <c r="AK17" s="6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7"/>
    </row>
    <row r="18" spans="1:71" ht="20.25" customHeight="1">
      <c r="A18" s="29" t="s">
        <v>15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30" t="e">
        <f>VLOOKUP($M$16,#REF!, 7, FALSE)</f>
        <v>#REF!</v>
      </c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6"/>
      <c r="AJ18" s="2"/>
      <c r="AK18" s="6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7"/>
    </row>
    <row r="19" spans="1:71" ht="6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6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7"/>
    </row>
    <row r="20" spans="1:71" ht="20.25" customHeight="1">
      <c r="A20" s="53" t="s">
        <v>16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2"/>
      <c r="AK20" s="6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7"/>
    </row>
    <row r="21" spans="1:71" ht="6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6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7"/>
    </row>
    <row r="22" spans="1:71" ht="20.25" customHeight="1">
      <c r="A22" s="29" t="s">
        <v>17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30" t="e">
        <f>VLOOKUP($M$16,#REF!, 22, FALSE)</f>
        <v>#REF!</v>
      </c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6"/>
      <c r="AJ22" s="2"/>
      <c r="AK22" s="6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7"/>
    </row>
    <row r="23" spans="1:71" ht="6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2"/>
      <c r="AK23" s="6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7"/>
    </row>
    <row r="24" spans="1:71" ht="20.25" customHeight="1">
      <c r="A24" s="29" t="s">
        <v>18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30" t="e">
        <f>VLOOKUP($M$16,#REF!, 23, FALSE)</f>
        <v>#REF!</v>
      </c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6"/>
      <c r="AJ24" s="2"/>
      <c r="AK24" s="6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7"/>
    </row>
    <row r="25" spans="1:71" ht="6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2"/>
      <c r="AK25" s="6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7"/>
    </row>
    <row r="26" spans="1:71" ht="20.25" customHeight="1">
      <c r="A26" s="29" t="s">
        <v>19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30" t="e">
        <f>VLOOKUP($M$16,#REF!, 24, FALSE)</f>
        <v>#REF!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6"/>
      <c r="AJ26" s="2"/>
      <c r="AK26" s="8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10"/>
    </row>
    <row r="27" spans="1:71" ht="6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</row>
    <row r="28" spans="1:71" ht="20.25" customHeight="1">
      <c r="A28" s="53" t="s">
        <v>32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2"/>
      <c r="AK28" s="53" t="s">
        <v>33</v>
      </c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</row>
    <row r="29" spans="1:71" ht="6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</row>
    <row r="30" spans="1:71" ht="20.25" customHeight="1">
      <c r="A30" s="29" t="s">
        <v>34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36" t="e">
        <f>VLOOKUP($M$16,#REF!, 25, FALSE)</f>
        <v>#REF!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6"/>
      <c r="AJ30" s="2"/>
      <c r="AK30" s="29" t="s">
        <v>35</v>
      </c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4" t="e">
        <f>VLOOKUP($M$16,#REF!, 28, FALSE)</f>
        <v>#REF!</v>
      </c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6"/>
    </row>
    <row r="31" spans="1:71" ht="6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</row>
    <row r="32" spans="1:71" ht="20.25" customHeight="1">
      <c r="A32" s="29" t="s">
        <v>36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30" t="e">
        <f>VLOOKUP($M$16,#REF!, 26, FALSE)</f>
        <v>#REF!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6"/>
      <c r="AJ32" s="2"/>
      <c r="AK32" s="29" t="s">
        <v>37</v>
      </c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4" t="e">
        <f>VLOOKUP($M$16,#REF!, 29, FALSE)</f>
        <v>#REF!</v>
      </c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6"/>
    </row>
    <row r="33" spans="1:71" ht="6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11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</row>
    <row r="34" spans="1:71" ht="20.25" customHeight="1">
      <c r="A34" s="29" t="s">
        <v>38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37" t="e">
        <f>VLOOKUP($M$16,#REF!, 27, FALSE)</f>
        <v>#REF!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6"/>
      <c r="AJ34" s="2"/>
      <c r="AK34" s="29" t="s">
        <v>39</v>
      </c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4" t="e">
        <f>VLOOKUP($M$16,#REF!, 30, FALSE)</f>
        <v>#REF!</v>
      </c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6"/>
    </row>
    <row r="35" spans="1:71" ht="6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</row>
    <row r="36" spans="1:71" ht="20.25" customHeight="1">
      <c r="A36" s="53" t="s">
        <v>40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</row>
    <row r="37" spans="1:71" ht="5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</row>
    <row r="38" spans="1:71" ht="20.25" customHeight="1">
      <c r="A38" s="29" t="s">
        <v>41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30" t="e">
        <f>VLOOKUP($M$16,#REF!, 8, FALSE)</f>
        <v>#REF!</v>
      </c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6"/>
      <c r="AJ38" s="2"/>
      <c r="AK38" s="29" t="s">
        <v>42</v>
      </c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4" t="e">
        <f>VLOOKUP($M$16,#REF!, 9, FALSE)</f>
        <v>#REF!</v>
      </c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6"/>
    </row>
    <row r="39" spans="1:71" ht="6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</row>
    <row r="40" spans="1:71" ht="20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8" t="s">
        <v>20</v>
      </c>
      <c r="N40" s="15"/>
      <c r="O40" s="15"/>
      <c r="P40" s="16"/>
      <c r="Q40" s="18" t="s">
        <v>21</v>
      </c>
      <c r="R40" s="15"/>
      <c r="S40" s="15"/>
      <c r="T40" s="16"/>
      <c r="U40" s="18" t="s">
        <v>22</v>
      </c>
      <c r="V40" s="15"/>
      <c r="W40" s="15"/>
      <c r="X40" s="16"/>
      <c r="Y40" s="18" t="s">
        <v>23</v>
      </c>
      <c r="Z40" s="15"/>
      <c r="AA40" s="15"/>
      <c r="AB40" s="16"/>
      <c r="AC40" s="18" t="s">
        <v>24</v>
      </c>
      <c r="AD40" s="15"/>
      <c r="AE40" s="15"/>
      <c r="AF40" s="16"/>
      <c r="AG40" s="18" t="s">
        <v>25</v>
      </c>
      <c r="AH40" s="15"/>
      <c r="AI40" s="15"/>
      <c r="AJ40" s="16"/>
      <c r="AK40" s="18" t="s">
        <v>26</v>
      </c>
      <c r="AL40" s="15"/>
      <c r="AM40" s="15"/>
      <c r="AN40" s="16"/>
      <c r="AO40" s="18" t="s">
        <v>27</v>
      </c>
      <c r="AP40" s="15"/>
      <c r="AQ40" s="15"/>
      <c r="AR40" s="16"/>
      <c r="AS40" s="18" t="s">
        <v>28</v>
      </c>
      <c r="AT40" s="15"/>
      <c r="AU40" s="15"/>
      <c r="AV40" s="16"/>
      <c r="AW40" s="18" t="s">
        <v>29</v>
      </c>
      <c r="AX40" s="15"/>
      <c r="AY40" s="15"/>
      <c r="AZ40" s="16"/>
      <c r="BA40" s="18" t="s">
        <v>30</v>
      </c>
      <c r="BB40" s="15"/>
      <c r="BC40" s="15"/>
      <c r="BD40" s="16"/>
      <c r="BE40" s="18" t="s">
        <v>31</v>
      </c>
      <c r="BF40" s="15"/>
      <c r="BG40" s="15"/>
      <c r="BH40" s="16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</row>
    <row r="41" spans="1:71" ht="20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4" t="e">
        <f>VLOOKUP($M$16,#REF!, 10, FALSE)</f>
        <v>#REF!</v>
      </c>
      <c r="N41" s="15"/>
      <c r="O41" s="15"/>
      <c r="P41" s="16"/>
      <c r="Q41" s="14" t="e">
        <f>VLOOKUP($M$16,#REF!, 11, FALSE)</f>
        <v>#REF!</v>
      </c>
      <c r="R41" s="15"/>
      <c r="S41" s="15"/>
      <c r="T41" s="16"/>
      <c r="U41" s="14" t="e">
        <f>VLOOKUP($M$16,#REF!, 12, FALSE)</f>
        <v>#REF!</v>
      </c>
      <c r="V41" s="15"/>
      <c r="W41" s="15"/>
      <c r="X41" s="16"/>
      <c r="Y41" s="14" t="e">
        <f>VLOOKUP($M$16,#REF!, 13, FALSE)</f>
        <v>#REF!</v>
      </c>
      <c r="Z41" s="15"/>
      <c r="AA41" s="15"/>
      <c r="AB41" s="16"/>
      <c r="AC41" s="14" t="e">
        <f>VLOOKUP($M$16,#REF!, 14, FALSE)</f>
        <v>#REF!</v>
      </c>
      <c r="AD41" s="15"/>
      <c r="AE41" s="15"/>
      <c r="AF41" s="16"/>
      <c r="AG41" s="14" t="e">
        <f>VLOOKUP($M$16,#REF!, 15, FALSE)</f>
        <v>#REF!</v>
      </c>
      <c r="AH41" s="15"/>
      <c r="AI41" s="15"/>
      <c r="AJ41" s="16"/>
      <c r="AK41" s="14" t="e">
        <f>VLOOKUP($M$16,#REF!, 16, FALSE)</f>
        <v>#REF!</v>
      </c>
      <c r="AL41" s="15"/>
      <c r="AM41" s="15"/>
      <c r="AN41" s="16"/>
      <c r="AO41" s="14" t="e">
        <f>VLOOKUP($M$16,#REF!, 17, FALSE)</f>
        <v>#REF!</v>
      </c>
      <c r="AP41" s="15"/>
      <c r="AQ41" s="15"/>
      <c r="AR41" s="16"/>
      <c r="AS41" s="14" t="e">
        <f>VLOOKUP($M$16,#REF!, 18, FALSE)</f>
        <v>#REF!</v>
      </c>
      <c r="AT41" s="15"/>
      <c r="AU41" s="15"/>
      <c r="AV41" s="16"/>
      <c r="AW41" s="14" t="e">
        <f>VLOOKUP($M$16,#REF!, 19, FALSE)</f>
        <v>#REF!</v>
      </c>
      <c r="AX41" s="15"/>
      <c r="AY41" s="15"/>
      <c r="AZ41" s="16"/>
      <c r="BA41" s="14" t="e">
        <f>VLOOKUP($M$16,#REF!, 20, FALSE)</f>
        <v>#REF!</v>
      </c>
      <c r="BB41" s="15"/>
      <c r="BC41" s="15"/>
      <c r="BD41" s="16"/>
      <c r="BE41" s="14" t="e">
        <f>VLOOKUP($M$16,#REF!, 21, FALSE)</f>
        <v>#REF!</v>
      </c>
      <c r="BF41" s="15"/>
      <c r="BG41" s="15"/>
      <c r="BH41" s="16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</row>
    <row r="42" spans="1:71" ht="5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</row>
    <row r="43" spans="1:71" ht="20.25" customHeight="1">
      <c r="A43" s="53" t="s">
        <v>43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</row>
    <row r="44" spans="1:71" ht="6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</row>
    <row r="45" spans="1:71" ht="20.25" customHeight="1">
      <c r="A45" s="19" t="s">
        <v>44</v>
      </c>
      <c r="B45" s="17"/>
      <c r="C45" s="17"/>
      <c r="D45" s="17"/>
      <c r="E45" s="17"/>
      <c r="F45" s="17"/>
      <c r="G45" s="17"/>
      <c r="H45" s="17"/>
      <c r="I45" s="17"/>
      <c r="J45" s="17"/>
      <c r="K45" s="14" t="e">
        <f>VLOOKUP($M$16,#REF!, 31, FALSE)</f>
        <v>#REF!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6"/>
      <c r="Y45" s="19" t="s">
        <v>45</v>
      </c>
      <c r="Z45" s="17"/>
      <c r="AA45" s="17"/>
      <c r="AB45" s="17"/>
      <c r="AC45" s="17"/>
      <c r="AD45" s="17"/>
      <c r="AE45" s="17"/>
      <c r="AF45" s="17"/>
      <c r="AG45" s="17"/>
      <c r="AH45" s="17"/>
      <c r="AI45" s="28" t="e">
        <f>VLOOKUP($M$16,#REF!, 32, FALSE)</f>
        <v>#REF!</v>
      </c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6"/>
      <c r="AW45" s="19" t="s">
        <v>46</v>
      </c>
      <c r="AX45" s="17"/>
      <c r="AY45" s="17"/>
      <c r="AZ45" s="17"/>
      <c r="BA45" s="17"/>
      <c r="BB45" s="17"/>
      <c r="BC45" s="17"/>
      <c r="BD45" s="17"/>
      <c r="BE45" s="17"/>
      <c r="BF45" s="17"/>
      <c r="BG45" s="14" t="e">
        <f>VLOOKUP($M$16,#REF!, 33, FALSE)</f>
        <v>#REF!</v>
      </c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6"/>
    </row>
    <row r="46" spans="1:71" ht="6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</row>
    <row r="47" spans="1:71" ht="20.25" customHeight="1">
      <c r="A47" s="19" t="s">
        <v>47</v>
      </c>
      <c r="B47" s="17"/>
      <c r="C47" s="17"/>
      <c r="D47" s="17"/>
      <c r="E47" s="17"/>
      <c r="F47" s="17"/>
      <c r="G47" s="17"/>
      <c r="H47" s="17"/>
      <c r="I47" s="17"/>
      <c r="J47" s="17"/>
      <c r="K47" s="14" t="e">
        <f>VLOOKUP($M$16,#REF!, 34, FALSE)</f>
        <v>#REF!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6"/>
      <c r="Y47" s="19" t="s">
        <v>48</v>
      </c>
      <c r="Z47" s="17"/>
      <c r="AA47" s="17"/>
      <c r="AB47" s="17"/>
      <c r="AC47" s="17"/>
      <c r="AD47" s="17"/>
      <c r="AE47" s="17"/>
      <c r="AF47" s="17"/>
      <c r="AG47" s="17"/>
      <c r="AH47" s="17"/>
      <c r="AI47" s="14" t="e">
        <f>VLOOKUP($M$16,#REF!, 35, FALSE)</f>
        <v>#REF!</v>
      </c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6"/>
      <c r="AW47" s="19" t="s">
        <v>49</v>
      </c>
      <c r="AX47" s="17"/>
      <c r="AY47" s="17"/>
      <c r="AZ47" s="17"/>
      <c r="BA47" s="17"/>
      <c r="BB47" s="17"/>
      <c r="BC47" s="17"/>
      <c r="BD47" s="17"/>
      <c r="BE47" s="17"/>
      <c r="BF47" s="17"/>
      <c r="BG47" s="14" t="e">
        <f>VLOOKUP($M$16,#REF!, 36, FALSE)</f>
        <v>#REF!</v>
      </c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6"/>
    </row>
    <row r="48" spans="1:71" ht="6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</row>
    <row r="49" spans="1:71" ht="20.25" customHeight="1">
      <c r="A49" s="19" t="s">
        <v>50</v>
      </c>
      <c r="B49" s="17"/>
      <c r="C49" s="17"/>
      <c r="D49" s="17"/>
      <c r="E49" s="17"/>
      <c r="F49" s="17"/>
      <c r="G49" s="17"/>
      <c r="H49" s="17"/>
      <c r="I49" s="17"/>
      <c r="J49" s="17"/>
      <c r="K49" s="14" t="e">
        <f>VLOOKUP($M$16,#REF!, 37, FALSE)</f>
        <v>#REF!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6"/>
      <c r="Y49" s="19" t="s">
        <v>51</v>
      </c>
      <c r="Z49" s="17"/>
      <c r="AA49" s="17"/>
      <c r="AB49" s="17"/>
      <c r="AC49" s="17"/>
      <c r="AD49" s="17"/>
      <c r="AE49" s="17"/>
      <c r="AF49" s="17"/>
      <c r="AG49" s="17"/>
      <c r="AH49" s="17"/>
      <c r="AI49" s="14" t="e">
        <f>VLOOKUP($M$16,#REF!, 28, FALSE)</f>
        <v>#REF!</v>
      </c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6"/>
      <c r="AW49" s="19" t="s">
        <v>52</v>
      </c>
      <c r="AX49" s="17"/>
      <c r="AY49" s="17"/>
      <c r="AZ49" s="17"/>
      <c r="BA49" s="17"/>
      <c r="BB49" s="17"/>
      <c r="BC49" s="17"/>
      <c r="BD49" s="17"/>
      <c r="BE49" s="17"/>
      <c r="BF49" s="17"/>
      <c r="BG49" s="14" t="e">
        <f>VLOOKUP($M$16,#REF!, 39, FALSE)</f>
        <v>#REF!</v>
      </c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6"/>
    </row>
    <row r="50" spans="1:71" ht="6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</row>
    <row r="51" spans="1:71" ht="20.25" customHeight="1">
      <c r="A51" s="53" t="s">
        <v>53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2"/>
      <c r="AK51" s="53" t="s">
        <v>54</v>
      </c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</row>
    <row r="52" spans="1:71" ht="6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</row>
    <row r="53" spans="1:71" ht="20.25" customHeight="1">
      <c r="A53" s="14" t="e">
        <f>VLOOKUP($M$16,#REF!, 40, FALSE)</f>
        <v>#REF!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6"/>
      <c r="AJ53" s="2"/>
      <c r="AK53" s="14" t="e">
        <f>VLOOKUP($M$16,#REF!, 41, FALSE)</f>
        <v>#REF!</v>
      </c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6"/>
    </row>
    <row r="54" spans="1:71" ht="6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</row>
    <row r="55" spans="1:71" ht="20.25" customHeight="1">
      <c r="A55" s="53" t="s">
        <v>55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2"/>
      <c r="AK55" s="53" t="s">
        <v>56</v>
      </c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</row>
    <row r="56" spans="1:71" ht="6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</row>
    <row r="57" spans="1:71" ht="20.25" customHeight="1">
      <c r="A57" s="14" t="e">
        <f>VLOOKUP($M$16,#REF!, 42, FALSE)</f>
        <v>#REF!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6"/>
      <c r="AJ57" s="2"/>
      <c r="AK57" s="14" t="e">
        <f>VLOOKUP($M$16,#REF!, 43, FALSE)</f>
        <v>#REF!</v>
      </c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6"/>
    </row>
    <row r="58" spans="1:71" ht="6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</row>
    <row r="59" spans="1:71" ht="20.25" customHeight="1">
      <c r="A59" s="53" t="s">
        <v>57</v>
      </c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</row>
    <row r="60" spans="1:71" ht="6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</row>
    <row r="61" spans="1:71" ht="20.25" customHeight="1">
      <c r="A61" s="18" t="s">
        <v>58</v>
      </c>
      <c r="B61" s="15"/>
      <c r="C61" s="15"/>
      <c r="D61" s="16"/>
      <c r="E61" s="18" t="s">
        <v>59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6"/>
      <c r="AN61" s="18" t="s">
        <v>60</v>
      </c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6"/>
      <c r="BD61" s="18" t="s">
        <v>61</v>
      </c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6"/>
    </row>
    <row r="62" spans="1:71" ht="20.25" customHeight="1">
      <c r="A62" s="14" t="e">
        <f>VLOOKUP($M$16,#REF!, 44, FALSE)</f>
        <v>#REF!</v>
      </c>
      <c r="B62" s="15"/>
      <c r="C62" s="15"/>
      <c r="D62" s="16"/>
      <c r="E62" s="14" t="e">
        <f>VLOOKUP($M$16,#REF!, 45, FALSE)</f>
        <v>#REF!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6"/>
      <c r="AN62" s="14" t="e">
        <f>VLOOKUP($M$16,#REF!, 46, FALSE)</f>
        <v>#REF!</v>
      </c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6"/>
      <c r="BD62" s="14" t="e">
        <f>VLOOKUP($M$16,#REF!, 47, FALSE)</f>
        <v>#REF!</v>
      </c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6"/>
    </row>
    <row r="63" spans="1:71" ht="20.25" customHeight="1">
      <c r="A63" s="14" t="e">
        <f>VLOOKUP($M$16,#REF!, 48, FALSE)</f>
        <v>#REF!</v>
      </c>
      <c r="B63" s="15"/>
      <c r="C63" s="15"/>
      <c r="D63" s="16"/>
      <c r="E63" s="14" t="e">
        <f>VLOOKUP($M$16,#REF!, 49, FALSE)</f>
        <v>#REF!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6"/>
      <c r="AN63" s="14" t="e">
        <f>VLOOKUP($M$16,#REF!, 50, FALSE)</f>
        <v>#REF!</v>
      </c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6"/>
      <c r="BD63" s="14" t="e">
        <f>VLOOKUP($M$16,#REF!, 51, FALSE)</f>
        <v>#REF!</v>
      </c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6"/>
    </row>
    <row r="64" spans="1:71" ht="20.25" customHeight="1">
      <c r="A64" s="14" t="e">
        <f>VLOOKUP($M$16,#REF!, 52, FALSE)</f>
        <v>#REF!</v>
      </c>
      <c r="B64" s="15"/>
      <c r="C64" s="15"/>
      <c r="D64" s="16"/>
      <c r="E64" s="14" t="e">
        <f>VLOOKUP($M$16,#REF!, 53, FALSE)</f>
        <v>#REF!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6"/>
      <c r="AN64" s="14" t="e">
        <f>VLOOKUP($M$16,#REF!, 54, FALSE)</f>
        <v>#REF!</v>
      </c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6"/>
      <c r="BD64" s="14" t="e">
        <f>VLOOKUP($M$16,#REF!, 55, FALSE)</f>
        <v>#REF!</v>
      </c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6"/>
    </row>
    <row r="65" spans="1:71" ht="20.25" customHeight="1">
      <c r="A65" s="14" t="e">
        <f>VLOOKUP($M$16,#REF!, 56, FALSE)</f>
        <v>#REF!</v>
      </c>
      <c r="B65" s="15"/>
      <c r="C65" s="15"/>
      <c r="D65" s="16"/>
      <c r="E65" s="14" t="e">
        <f>VLOOKUP($M$16,#REF!, 57, FALSE)</f>
        <v>#REF!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6"/>
      <c r="AN65" s="14" t="e">
        <f>VLOOKUP($M$16,#REF!, 58, FALSE)</f>
        <v>#REF!</v>
      </c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6"/>
      <c r="BD65" s="14" t="e">
        <f>VLOOKUP($M$16,#REF!, 59, FALSE)</f>
        <v>#REF!</v>
      </c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6"/>
    </row>
    <row r="66" spans="1:71" ht="20.25" customHeight="1">
      <c r="A66" s="14" t="e">
        <f>VLOOKUP($M$16,#REF!, 60, FALSE)</f>
        <v>#REF!</v>
      </c>
      <c r="B66" s="15"/>
      <c r="C66" s="15"/>
      <c r="D66" s="16"/>
      <c r="E66" s="14" t="e">
        <f>VLOOKUP($M$16,#REF!, 61, FALSE)</f>
        <v>#REF!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6"/>
      <c r="AN66" s="14" t="e">
        <f>VLOOKUP($M$16,#REF!, 62, FALSE)</f>
        <v>#REF!</v>
      </c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6"/>
      <c r="BD66" s="14" t="e">
        <f>VLOOKUP($M$16,#REF!, 63, FALSE)</f>
        <v>#REF!</v>
      </c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6"/>
    </row>
    <row r="67" spans="1:71" ht="20.25" customHeight="1">
      <c r="A67" s="14" t="e">
        <f>VLOOKUP($M$16,#REF!, 64, FALSE)</f>
        <v>#REF!</v>
      </c>
      <c r="B67" s="15"/>
      <c r="C67" s="15"/>
      <c r="D67" s="16"/>
      <c r="E67" s="14" t="e">
        <f>VLOOKUP($M$16,#REF!, 65, FALSE)</f>
        <v>#REF!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6"/>
      <c r="AN67" s="14" t="e">
        <f>VLOOKUP($M$16,#REF!, 66, FALSE)</f>
        <v>#REF!</v>
      </c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6"/>
      <c r="BD67" s="14" t="e">
        <f>VLOOKUP($M$16,#REF!, 67, FALSE)</f>
        <v>#REF!</v>
      </c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6"/>
    </row>
    <row r="68" spans="1:71" ht="20.25" customHeight="1">
      <c r="A68" s="14" t="e">
        <f>VLOOKUP($M$16,#REF!, 68, FALSE)</f>
        <v>#REF!</v>
      </c>
      <c r="B68" s="15"/>
      <c r="C68" s="15"/>
      <c r="D68" s="16"/>
      <c r="E68" s="14" t="e">
        <f>VLOOKUP($M$16,#REF!, 69, FALSE)</f>
        <v>#REF!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6"/>
      <c r="AN68" s="14" t="e">
        <f>VLOOKUP($M$16,#REF!, 70, FALSE)</f>
        <v>#REF!</v>
      </c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6"/>
      <c r="BD68" s="14" t="e">
        <f>VLOOKUP($M$16,#REF!, 71, FALSE)</f>
        <v>#REF!</v>
      </c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6"/>
    </row>
    <row r="69" spans="1:71" ht="20.25" customHeight="1">
      <c r="A69" s="14" t="e">
        <f>VLOOKUP($M$16,#REF!, 72, FALSE)</f>
        <v>#REF!</v>
      </c>
      <c r="B69" s="15"/>
      <c r="C69" s="15"/>
      <c r="D69" s="16"/>
      <c r="E69" s="14" t="e">
        <f>VLOOKUP($M$16,#REF!, 73, FALSE)</f>
        <v>#REF!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6"/>
      <c r="AN69" s="14" t="e">
        <f>VLOOKUP($M$16,#REF!, 74, FALSE)</f>
        <v>#REF!</v>
      </c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6"/>
      <c r="BD69" s="14" t="e">
        <f>VLOOKUP($M$16,#REF!, 75, FALSE)</f>
        <v>#REF!</v>
      </c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6"/>
    </row>
    <row r="70" spans="1:71" ht="6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</row>
    <row r="71" spans="1:71" ht="20.25" customHeight="1">
      <c r="A71" s="53" t="s">
        <v>62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</row>
    <row r="72" spans="1:71" ht="6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</row>
    <row r="73" spans="1:71" ht="20.25" customHeight="1">
      <c r="A73" s="2"/>
      <c r="B73" s="2"/>
      <c r="C73" s="2"/>
      <c r="D73" s="2"/>
      <c r="E73" s="21" t="s">
        <v>63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4" t="e">
        <f>VLOOKUP($M$16,#REF!, 76, FALSE)</f>
        <v>#REF!</v>
      </c>
      <c r="AB73" s="15"/>
      <c r="AC73" s="15"/>
      <c r="AD73" s="16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1" t="s">
        <v>64</v>
      </c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4" t="e">
        <f>VLOOKUP($M$16,#REF!, 77, FALSE)</f>
        <v>#REF!</v>
      </c>
      <c r="BL73" s="15"/>
      <c r="BM73" s="15"/>
      <c r="BN73" s="16"/>
      <c r="BO73" s="2"/>
      <c r="BP73" s="2"/>
      <c r="BQ73" s="2"/>
      <c r="BR73" s="2"/>
      <c r="BS73" s="2"/>
    </row>
    <row r="74" spans="1:71" ht="6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</row>
    <row r="75" spans="1:71" ht="20.25" customHeight="1">
      <c r="A75" s="2"/>
      <c r="B75" s="2"/>
      <c r="C75" s="2"/>
      <c r="D75" s="2"/>
      <c r="E75" s="21" t="s">
        <v>65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4" t="e">
        <f>VLOOKUP($M$16,#REF!, 78, FALSE)</f>
        <v>#REF!</v>
      </c>
      <c r="AB75" s="15"/>
      <c r="AC75" s="15"/>
      <c r="AD75" s="16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1" t="s">
        <v>66</v>
      </c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4" t="e">
        <f>VLOOKUP($M$16,#REF!, 79, FALSE)</f>
        <v>#REF!</v>
      </c>
      <c r="BL75" s="15"/>
      <c r="BM75" s="15"/>
      <c r="BN75" s="16"/>
      <c r="BO75" s="2"/>
      <c r="BP75" s="2"/>
      <c r="BQ75" s="2"/>
      <c r="BR75" s="2"/>
      <c r="BS75" s="2"/>
    </row>
    <row r="76" spans="1:71" ht="6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13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</row>
    <row r="77" spans="1:71" ht="19.5" customHeight="1">
      <c r="A77" s="55" t="s">
        <v>67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6"/>
      <c r="AI77" s="22"/>
      <c r="AJ77" s="23"/>
      <c r="AK77" s="24"/>
      <c r="AL77" s="20" t="s">
        <v>68</v>
      </c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6"/>
    </row>
    <row r="78" spans="1:71" ht="19.5" customHeight="1">
      <c r="A78" s="20" t="s">
        <v>69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6"/>
      <c r="AI78" s="25"/>
      <c r="AJ78" s="26"/>
      <c r="AK78" s="27"/>
      <c r="AL78" s="55" t="s">
        <v>72</v>
      </c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6"/>
    </row>
    <row r="79" spans="1:71" ht="19.5" customHeight="1">
      <c r="A79" s="21" t="s">
        <v>70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</row>
    <row r="80" spans="1:71" ht="20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</row>
    <row r="81" spans="1:71" ht="20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</row>
    <row r="82" spans="1:71" ht="20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</row>
    <row r="83" spans="1:71" ht="20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</row>
    <row r="84" spans="1:71" ht="20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</row>
    <row r="85" spans="1:71" ht="20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</row>
    <row r="86" spans="1:71" ht="20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</row>
    <row r="87" spans="1:71" ht="20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</row>
    <row r="88" spans="1:71" ht="20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</row>
    <row r="89" spans="1:71" ht="20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</row>
    <row r="90" spans="1:71" ht="20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</row>
    <row r="91" spans="1:71" ht="20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</row>
    <row r="92" spans="1:71" ht="20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</row>
    <row r="93" spans="1:71" ht="20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</row>
    <row r="94" spans="1:71" ht="20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</row>
    <row r="95" spans="1:71" ht="20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</row>
    <row r="96" spans="1:71" ht="20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</row>
    <row r="97" spans="1:71" ht="20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</row>
    <row r="98" spans="1:71" ht="20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</row>
    <row r="99" spans="1:71" ht="20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</row>
    <row r="100" spans="1:71" ht="20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</row>
    <row r="101" spans="1:71" ht="20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</row>
    <row r="102" spans="1:71" ht="20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</row>
    <row r="103" spans="1:71" ht="20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</row>
    <row r="104" spans="1:71" ht="20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</row>
    <row r="105" spans="1:71" ht="20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</row>
    <row r="106" spans="1:71" ht="20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</row>
    <row r="107" spans="1:71" ht="20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</row>
    <row r="108" spans="1:71" ht="20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</row>
    <row r="109" spans="1:71" ht="20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</row>
    <row r="110" spans="1:71" ht="20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</row>
    <row r="111" spans="1:71" ht="20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</row>
    <row r="112" spans="1:71" ht="20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</row>
    <row r="113" spans="1:71" ht="20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</row>
    <row r="114" spans="1:71" ht="20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</row>
    <row r="115" spans="1:71" ht="20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</row>
    <row r="116" spans="1:71" ht="20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</row>
    <row r="117" spans="1:71" ht="20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</row>
    <row r="118" spans="1:71" ht="20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</row>
    <row r="119" spans="1:71" ht="20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</row>
    <row r="120" spans="1:71" ht="20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</row>
    <row r="121" spans="1:71" ht="20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</row>
    <row r="122" spans="1:71" ht="20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</row>
    <row r="123" spans="1:71" ht="20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</row>
    <row r="124" spans="1:71" ht="20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</row>
    <row r="125" spans="1:71" ht="20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</row>
    <row r="126" spans="1:71" ht="20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</row>
    <row r="127" spans="1:71" ht="20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</row>
    <row r="128" spans="1:71" ht="20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</row>
    <row r="129" spans="1:71" ht="20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</row>
    <row r="130" spans="1:71" ht="20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</row>
    <row r="131" spans="1:71" ht="20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</row>
    <row r="132" spans="1:71" ht="20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</row>
    <row r="133" spans="1:71" ht="20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</row>
    <row r="134" spans="1:71" ht="20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</row>
    <row r="135" spans="1:71" ht="20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</row>
    <row r="136" spans="1:71" ht="20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</row>
    <row r="137" spans="1:71" ht="20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</row>
    <row r="138" spans="1:71" ht="20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</row>
    <row r="139" spans="1:71" ht="20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</row>
    <row r="140" spans="1:71" ht="20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</row>
    <row r="141" spans="1:71" ht="20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</row>
    <row r="142" spans="1:71" ht="20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</row>
    <row r="143" spans="1:71" ht="20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</row>
    <row r="144" spans="1:71" ht="20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</row>
    <row r="145" spans="1:71" ht="20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</row>
    <row r="146" spans="1:71" ht="20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</row>
    <row r="147" spans="1:71" ht="20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</row>
    <row r="148" spans="1:71" ht="20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</row>
    <row r="149" spans="1:71" ht="20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</row>
    <row r="150" spans="1:71" ht="20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</row>
    <row r="151" spans="1:71" ht="20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</row>
    <row r="152" spans="1:71" ht="20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</row>
    <row r="153" spans="1:71" ht="20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</row>
    <row r="154" spans="1:71" ht="20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</row>
    <row r="155" spans="1:71" ht="20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</row>
    <row r="156" spans="1:71" ht="20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</row>
    <row r="157" spans="1:71" ht="20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</row>
    <row r="158" spans="1:71" ht="20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</row>
    <row r="159" spans="1:71" ht="20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</row>
    <row r="160" spans="1:71" ht="20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</row>
    <row r="161" spans="1:71" ht="20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</row>
    <row r="162" spans="1:71" ht="20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</row>
    <row r="163" spans="1:71" ht="20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</row>
    <row r="164" spans="1:71" ht="20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</row>
    <row r="165" spans="1:71" ht="20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</row>
    <row r="166" spans="1:71" ht="20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</row>
    <row r="167" spans="1:71" ht="20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</row>
    <row r="168" spans="1:71" ht="20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</row>
    <row r="169" spans="1:71" ht="20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</row>
    <row r="170" spans="1:71" ht="20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</row>
    <row r="171" spans="1:71" ht="20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</row>
    <row r="172" spans="1:71" ht="20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</row>
    <row r="173" spans="1:71" ht="20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</row>
    <row r="174" spans="1:71" ht="20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</row>
    <row r="175" spans="1:71" ht="20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</row>
    <row r="176" spans="1:71" ht="20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</row>
    <row r="177" spans="1:71" ht="20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</row>
    <row r="178" spans="1:71" ht="20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</row>
    <row r="179" spans="1:71" ht="20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</row>
    <row r="180" spans="1:71" ht="20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</row>
    <row r="181" spans="1:71" ht="20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</row>
    <row r="182" spans="1:71" ht="20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</row>
    <row r="183" spans="1:71" ht="20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</row>
    <row r="184" spans="1:71" ht="20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</row>
    <row r="185" spans="1:71" ht="20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</row>
    <row r="186" spans="1:71" ht="20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</row>
    <row r="187" spans="1:71" ht="20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</row>
    <row r="188" spans="1:71" ht="20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</row>
    <row r="189" spans="1:71" ht="20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</row>
    <row r="190" spans="1:71" ht="20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</row>
    <row r="191" spans="1:71" ht="20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</row>
    <row r="192" spans="1:71" ht="20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</row>
    <row r="193" spans="1:71" ht="20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</row>
    <row r="194" spans="1:71" ht="20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</row>
    <row r="195" spans="1:71" ht="20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</row>
    <row r="196" spans="1:71" ht="20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</row>
    <row r="197" spans="1:71" ht="20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</row>
    <row r="198" spans="1:71" ht="20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</row>
    <row r="199" spans="1:71" ht="20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</row>
    <row r="200" spans="1:71" ht="20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</row>
    <row r="201" spans="1:71" ht="20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</row>
    <row r="202" spans="1:71" ht="20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</row>
    <row r="203" spans="1:71" ht="20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</row>
    <row r="204" spans="1:71" ht="20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</row>
    <row r="205" spans="1:71" ht="20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</row>
    <row r="206" spans="1:71" ht="20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</row>
    <row r="207" spans="1:71" ht="20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</row>
    <row r="208" spans="1:71" ht="20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</row>
    <row r="209" spans="1:71" ht="20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</row>
    <row r="210" spans="1:71" ht="20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</row>
    <row r="211" spans="1:71" ht="20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</row>
    <row r="212" spans="1:71" ht="20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</row>
    <row r="213" spans="1:71" ht="20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</row>
    <row r="214" spans="1:71" ht="20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</row>
    <row r="215" spans="1:71" ht="20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</row>
    <row r="216" spans="1:71" ht="20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</row>
    <row r="217" spans="1:71" ht="20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</row>
    <row r="218" spans="1:71" ht="20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</row>
    <row r="219" spans="1:71" ht="20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</row>
    <row r="220" spans="1:71" ht="20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</row>
    <row r="221" spans="1:71" ht="20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</row>
    <row r="222" spans="1:71" ht="20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</row>
    <row r="223" spans="1:71" ht="20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</row>
    <row r="224" spans="1:71" ht="20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</row>
    <row r="225" spans="1:71" ht="20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</row>
    <row r="226" spans="1:71" ht="20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</row>
    <row r="227" spans="1:71" ht="20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</row>
    <row r="228" spans="1:71" ht="20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</row>
    <row r="229" spans="1:71" ht="20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</row>
    <row r="230" spans="1:71" ht="20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</row>
    <row r="231" spans="1:71" ht="20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</row>
    <row r="232" spans="1:71" ht="20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</row>
    <row r="233" spans="1:71" ht="20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</row>
    <row r="234" spans="1:71" ht="20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</row>
    <row r="235" spans="1:71" ht="20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</row>
    <row r="236" spans="1:71" ht="20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</row>
    <row r="237" spans="1:71" ht="20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</row>
    <row r="238" spans="1:71" ht="20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</row>
    <row r="239" spans="1:71" ht="20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</row>
    <row r="240" spans="1:71" ht="20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</row>
    <row r="241" spans="1:71" ht="20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</row>
    <row r="242" spans="1:71" ht="20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</row>
    <row r="243" spans="1:71" ht="20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</row>
    <row r="244" spans="1:71" ht="20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</row>
    <row r="245" spans="1:71" ht="20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</row>
    <row r="246" spans="1:71" ht="20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</row>
    <row r="247" spans="1:71" ht="20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</row>
    <row r="248" spans="1:71" ht="20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</row>
    <row r="249" spans="1:71" ht="20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</row>
    <row r="250" spans="1:71" ht="20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</row>
    <row r="251" spans="1:71" ht="20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</row>
    <row r="252" spans="1:71" ht="20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</row>
    <row r="253" spans="1:71" ht="20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</row>
    <row r="254" spans="1:71" ht="20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</row>
    <row r="255" spans="1:71" ht="20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</row>
    <row r="256" spans="1:71" ht="20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</row>
    <row r="257" spans="1:71" ht="20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</row>
    <row r="258" spans="1:71" ht="20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</row>
    <row r="259" spans="1:71" ht="20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</row>
    <row r="260" spans="1:71" ht="20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</row>
    <row r="261" spans="1:71" ht="20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</row>
    <row r="262" spans="1:71" ht="20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</row>
    <row r="263" spans="1:71" ht="20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</row>
    <row r="264" spans="1:71" ht="20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</row>
    <row r="265" spans="1:71" ht="20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</row>
    <row r="266" spans="1:71" ht="20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</row>
    <row r="267" spans="1:71" ht="20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</row>
    <row r="268" spans="1:71" ht="20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</row>
    <row r="269" spans="1:71" ht="20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</row>
    <row r="270" spans="1:71" ht="20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</row>
    <row r="271" spans="1:71" ht="20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</row>
    <row r="272" spans="1:71" ht="20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</row>
    <row r="273" spans="1:71" ht="20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</row>
    <row r="274" spans="1:71" ht="20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</row>
    <row r="275" spans="1:71" ht="20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</row>
    <row r="276" spans="1:71" ht="20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</row>
    <row r="277" spans="1:71" ht="20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</row>
    <row r="278" spans="1:71" ht="20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</row>
    <row r="279" spans="1:71" ht="20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</row>
    <row r="280" spans="1:71" ht="15.75" customHeight="1"/>
    <row r="281" spans="1:71" ht="15.75" customHeight="1"/>
    <row r="282" spans="1:71" ht="15.75" customHeight="1"/>
    <row r="283" spans="1:71" ht="15.75" customHeight="1"/>
    <row r="284" spans="1:71" ht="15.75" customHeight="1"/>
    <row r="285" spans="1:71" ht="15.75" customHeight="1"/>
    <row r="286" spans="1:71" ht="15.75" customHeight="1"/>
    <row r="287" spans="1:71" ht="15.75" customHeight="1"/>
    <row r="288" spans="1:71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3">
    <mergeCell ref="BF1:BS1"/>
    <mergeCell ref="BF2:BS2"/>
    <mergeCell ref="BF3:BL3"/>
    <mergeCell ref="BM3:BS3"/>
    <mergeCell ref="P4:BE4"/>
    <mergeCell ref="A6:AI6"/>
    <mergeCell ref="AK6:BS6"/>
    <mergeCell ref="A10:L10"/>
    <mergeCell ref="M10:AI10"/>
    <mergeCell ref="M12:AI12"/>
    <mergeCell ref="A18:L18"/>
    <mergeCell ref="A22:L22"/>
    <mergeCell ref="A24:L24"/>
    <mergeCell ref="A26:L26"/>
    <mergeCell ref="A1:O4"/>
    <mergeCell ref="P1:BE3"/>
    <mergeCell ref="BF4:BL4"/>
    <mergeCell ref="BM4:BS4"/>
    <mergeCell ref="AL9:BR25"/>
    <mergeCell ref="AK28:BS28"/>
    <mergeCell ref="AK30:AV30"/>
    <mergeCell ref="AW30:BS30"/>
    <mergeCell ref="AW32:BS32"/>
    <mergeCell ref="M22:AI22"/>
    <mergeCell ref="M24:AI24"/>
    <mergeCell ref="M26:AI26"/>
    <mergeCell ref="A28:AI28"/>
    <mergeCell ref="M30:AI30"/>
    <mergeCell ref="M32:AI32"/>
    <mergeCell ref="A30:L30"/>
    <mergeCell ref="A32:L32"/>
    <mergeCell ref="A12:L12"/>
    <mergeCell ref="A14:L14"/>
    <mergeCell ref="M14:AI14"/>
    <mergeCell ref="A16:L16"/>
    <mergeCell ref="M16:AI16"/>
    <mergeCell ref="M18:AI18"/>
    <mergeCell ref="A20:AI20"/>
    <mergeCell ref="A8:L8"/>
    <mergeCell ref="M8:AI8"/>
    <mergeCell ref="AC41:AF41"/>
    <mergeCell ref="AG40:AJ40"/>
    <mergeCell ref="AK40:AN40"/>
    <mergeCell ref="AG41:AJ41"/>
    <mergeCell ref="AK41:AN41"/>
    <mergeCell ref="AK32:AV32"/>
    <mergeCell ref="AK34:AV34"/>
    <mergeCell ref="AW34:BS34"/>
    <mergeCell ref="A36:BS36"/>
    <mergeCell ref="M34:AI34"/>
    <mergeCell ref="A34:L34"/>
    <mergeCell ref="A38:U38"/>
    <mergeCell ref="V38:AI38"/>
    <mergeCell ref="AK38:BE38"/>
    <mergeCell ref="BF38:BS38"/>
    <mergeCell ref="M40:P40"/>
    <mergeCell ref="Q40:T40"/>
    <mergeCell ref="U40:X40"/>
    <mergeCell ref="BE40:BH40"/>
    <mergeCell ref="A43:BS43"/>
    <mergeCell ref="AO40:AR40"/>
    <mergeCell ref="AS40:AV40"/>
    <mergeCell ref="AO41:AR41"/>
    <mergeCell ref="AS41:AV41"/>
    <mergeCell ref="AW40:AZ40"/>
    <mergeCell ref="BA40:BD40"/>
    <mergeCell ref="AW41:AZ41"/>
    <mergeCell ref="BA41:BD41"/>
    <mergeCell ref="BE41:BH41"/>
    <mergeCell ref="Y40:AB40"/>
    <mergeCell ref="AC40:AF40"/>
    <mergeCell ref="M41:P41"/>
    <mergeCell ref="Q41:T41"/>
    <mergeCell ref="U41:X41"/>
    <mergeCell ref="Y41:AB41"/>
    <mergeCell ref="A67:D67"/>
    <mergeCell ref="E67:AM67"/>
    <mergeCell ref="AN67:BC67"/>
    <mergeCell ref="BD67:BS67"/>
    <mergeCell ref="K45:X45"/>
    <mergeCell ref="Y45:AH45"/>
    <mergeCell ref="AI45:AV45"/>
    <mergeCell ref="AW45:BF45"/>
    <mergeCell ref="BG45:BS45"/>
    <mergeCell ref="A45:J45"/>
    <mergeCell ref="A47:J47"/>
    <mergeCell ref="K47:X47"/>
    <mergeCell ref="Y47:AH47"/>
    <mergeCell ref="AI47:AV47"/>
    <mergeCell ref="AW47:BF47"/>
    <mergeCell ref="BG47:BS47"/>
    <mergeCell ref="E68:AM68"/>
    <mergeCell ref="AN68:BC68"/>
    <mergeCell ref="BD68:BS68"/>
    <mergeCell ref="A77:AH77"/>
    <mergeCell ref="AL77:BS77"/>
    <mergeCell ref="A78:AH78"/>
    <mergeCell ref="AL78:BS78"/>
    <mergeCell ref="A79:BS79"/>
    <mergeCell ref="AA73:AD73"/>
    <mergeCell ref="AO73:BJ73"/>
    <mergeCell ref="E75:Z75"/>
    <mergeCell ref="AA75:AD75"/>
    <mergeCell ref="AO75:BJ75"/>
    <mergeCell ref="BK75:BN75"/>
    <mergeCell ref="AI77:AK78"/>
    <mergeCell ref="A68:D68"/>
    <mergeCell ref="A69:D69"/>
    <mergeCell ref="E69:AM69"/>
    <mergeCell ref="AN69:BC69"/>
    <mergeCell ref="BD69:BS69"/>
    <mergeCell ref="A71:BS71"/>
    <mergeCell ref="E73:Z73"/>
    <mergeCell ref="BK73:BN73"/>
    <mergeCell ref="A49:J49"/>
    <mergeCell ref="K49:X49"/>
    <mergeCell ref="Y49:AH49"/>
    <mergeCell ref="AI49:AV49"/>
    <mergeCell ref="AW49:BF49"/>
    <mergeCell ref="BG49:BS49"/>
    <mergeCell ref="AK51:BS51"/>
    <mergeCell ref="A51:AI51"/>
    <mergeCell ref="A53:AI53"/>
    <mergeCell ref="AK53:BS53"/>
    <mergeCell ref="A55:AI55"/>
    <mergeCell ref="AK55:BS55"/>
    <mergeCell ref="AK57:BS57"/>
    <mergeCell ref="A59:BS59"/>
    <mergeCell ref="AN62:BC62"/>
    <mergeCell ref="BD62:BS62"/>
    <mergeCell ref="A57:AI57"/>
    <mergeCell ref="A61:D61"/>
    <mergeCell ref="E61:AM61"/>
    <mergeCell ref="AN61:BC61"/>
    <mergeCell ref="BD61:BS61"/>
    <mergeCell ref="A62:D62"/>
    <mergeCell ref="E62:AM62"/>
    <mergeCell ref="A63:D63"/>
    <mergeCell ref="E63:AM63"/>
    <mergeCell ref="AN63:BC63"/>
    <mergeCell ref="BD63:BS63"/>
    <mergeCell ref="E64:AM64"/>
    <mergeCell ref="AN64:BC64"/>
    <mergeCell ref="BD64:BS64"/>
    <mergeCell ref="AN66:BC66"/>
    <mergeCell ref="BD66:BS66"/>
    <mergeCell ref="A64:D64"/>
    <mergeCell ref="A65:D65"/>
    <mergeCell ref="E65:AM65"/>
    <mergeCell ref="AN65:BC65"/>
    <mergeCell ref="BD65:BS65"/>
    <mergeCell ref="A66:D66"/>
    <mergeCell ref="E66:AM66"/>
  </mergeCells>
  <conditionalFormatting sqref="A7:BS7 A21:AJ21 A29:BS29 A52:BS52 A56:BS56">
    <cfRule type="notContainsBlanks" dxfId="0" priority="1">
      <formula>LEN(TRIM(A7))&gt;0</formula>
    </cfRule>
  </conditionalFormatting>
  <printOptions horizontalCentered="1" gridLines="1"/>
  <pageMargins left="0.39370078740157477" right="0.25291073738680464" top="0.19685039370078738" bottom="0.19685039370078738" header="0" footer="0"/>
  <pageSetup scale="66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DE VIDA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ALBERTO ROMERO LOZANO</cp:lastModifiedBy>
  <dcterms:modified xsi:type="dcterms:W3CDTF">2026-10-23T02:47:34Z</dcterms:modified>
</cp:coreProperties>
</file>